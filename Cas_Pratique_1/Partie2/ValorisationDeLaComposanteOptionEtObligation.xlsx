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20"/>
  <workbookPr defaultThemeVersion="202300"/>
  <mc:AlternateContent xmlns:mc="http://schemas.openxmlformats.org/markup-compatibility/2006">
    <mc:Choice Requires="x15">
      <x15ac:absPath xmlns:x15ac="http://schemas.microsoft.com/office/spreadsheetml/2010/11/ac" url="/Users/yannismouton/Documents/Development/Portfolio_Project/Cas_Pratique_1/Partie2/"/>
    </mc:Choice>
  </mc:AlternateContent>
  <xr:revisionPtr revIDLastSave="0" documentId="13_ncr:1_{01A04DE8-E157-EA46-916A-5034A024B1E5}" xr6:coauthVersionLast="47" xr6:coauthVersionMax="47" xr10:uidLastSave="{00000000-0000-0000-0000-000000000000}"/>
  <bookViews>
    <workbookView xWindow="0" yWindow="660" windowWidth="34560" windowHeight="21680" activeTab="1" xr2:uid="{0F40D778-0163-9C4D-9BF4-EA4B458726D8}"/>
  </bookViews>
  <sheets>
    <sheet name="Inputs" sheetId="1" r:id="rId1"/>
    <sheet name="Terminal" sheetId="2" r:id="rId2"/>
    <sheet name="Graphique" sheetId="3" r:id="rId3"/>
  </sheets>
  <definedNames>
    <definedName name="C_">Inputs!$D$10</definedName>
    <definedName name="d">Inputs!$D$5</definedName>
    <definedName name="J">Inputs!$D$12</definedName>
    <definedName name="K">Inputs!$D$9</definedName>
    <definedName name="M">Inputs!$D$13</definedName>
    <definedName name="N">Inputs!$D$7</definedName>
    <definedName name="P_S_def">Inputs!$D$15</definedName>
    <definedName name="P_S_nodef">Inputs!$D$16</definedName>
    <definedName name="q">Inputs!$D$14</definedName>
    <definedName name="r_">Inputs!$D$6</definedName>
    <definedName name="S_0">Inputs!$D$3</definedName>
    <definedName name="T">Inputs!$D$8</definedName>
    <definedName name="u">Inputs!$D$4</definedName>
    <definedName name="λ">Inputs!$D$11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7" i="2" l="1"/>
  <c r="B22" i="2" s="1"/>
  <c r="F7" i="2"/>
  <c r="B11" i="2"/>
  <c r="D8" i="2"/>
  <c r="F8" i="2" s="1"/>
  <c r="C4" i="2"/>
  <c r="E4" i="2" s="1"/>
  <c r="D8" i="1"/>
  <c r="C5" i="2"/>
  <c r="E5" i="2" s="1"/>
  <c r="C6" i="2"/>
  <c r="E6" i="2" s="1"/>
  <c r="C7" i="2"/>
  <c r="E7" i="2" s="1"/>
  <c r="C8" i="2"/>
  <c r="E8" i="2" s="1"/>
  <c r="B18" i="2" l="1"/>
  <c r="G8" i="2"/>
  <c r="H8" i="2" s="1"/>
  <c r="D4" i="2"/>
  <c r="F4" i="2" s="1"/>
  <c r="G4" i="2" s="1"/>
  <c r="H4" i="2" s="1"/>
  <c r="D5" i="2"/>
  <c r="F5" i="2" s="1"/>
  <c r="G5" i="2" s="1"/>
  <c r="H5" i="2" s="1"/>
  <c r="D6" i="2"/>
  <c r="F6" i="2" s="1"/>
  <c r="G6" i="2" s="1"/>
  <c r="H6" i="2" s="1"/>
  <c r="D7" i="2"/>
  <c r="G7" i="2" s="1"/>
  <c r="H7" i="2" s="1"/>
  <c r="B23" i="2" l="1"/>
  <c r="B19" i="2"/>
  <c r="B25" i="2" s="1"/>
  <c r="B12" i="2"/>
  <c r="B26" i="2" l="1"/>
  <c r="B24" i="2"/>
</calcChain>
</file>

<file path=xl/sharedStrings.xml><?xml version="1.0" encoding="utf-8"?>
<sst xmlns="http://schemas.openxmlformats.org/spreadsheetml/2006/main" count="58" uniqueCount="58">
  <si>
    <t>Construire La Distribution binomiale du prix final ST d'une option européenne :</t>
  </si>
  <si>
    <t>Nom du paramètre</t>
  </si>
  <si>
    <t>Symbole</t>
  </si>
  <si>
    <t>Valeur</t>
  </si>
  <si>
    <t>Prix initial</t>
  </si>
  <si>
    <t>S_0</t>
  </si>
  <si>
    <t>Facteur de hausse</t>
  </si>
  <si>
    <t>u</t>
  </si>
  <si>
    <t>d</t>
  </si>
  <si>
    <t>r</t>
  </si>
  <si>
    <t>Facteur de baisse</t>
  </si>
  <si>
    <t>Taux sans risque</t>
  </si>
  <si>
    <t>Nombre de périodes</t>
  </si>
  <si>
    <t>Strike du call</t>
  </si>
  <si>
    <t>Montant investi</t>
  </si>
  <si>
    <t>Facteur de chute par saut</t>
  </si>
  <si>
    <t>Nombre de Simulations Monte Carlo</t>
  </si>
  <si>
    <t>Probabilité a priori de défaut (Bayes)</t>
  </si>
  <si>
    <t>P(S_def)</t>
  </si>
  <si>
    <t>P(S_nodef)</t>
  </si>
  <si>
    <t>Probabilité du signal en cas de défaut</t>
  </si>
  <si>
    <t>Probailité du signal sans défaut</t>
  </si>
  <si>
    <t>N</t>
  </si>
  <si>
    <t>K</t>
  </si>
  <si>
    <t>T</t>
  </si>
  <si>
    <t>Durée totale(années)</t>
  </si>
  <si>
    <t>C</t>
  </si>
  <si>
    <t>λ</t>
  </si>
  <si>
    <t>J</t>
  </si>
  <si>
    <t>M</t>
  </si>
  <si>
    <t>q</t>
  </si>
  <si>
    <t>Lambda (saut de poisson)</t>
  </si>
  <si>
    <t>Feuille Input</t>
  </si>
  <si>
    <t>Feuille Terminal :</t>
  </si>
  <si>
    <t>Cette feuille représente tous les résultats à l'échéance T pour chaque valeur possible du nombre de hausses k allant de 0 à N.</t>
  </si>
  <si>
    <t>PMF(k)</t>
  </si>
  <si>
    <t>ST(k)</t>
  </si>
  <si>
    <t>k</t>
  </si>
  <si>
    <t>Pour évaluer le prix ST(k), j'utilise la formule selon le 
modèle binomial discret : S_0*u^k*d^(N-k), pour 
k= 0,1,…,N</t>
  </si>
  <si>
    <t xml:space="preserve">Somme PMF : </t>
  </si>
  <si>
    <t>Comme la somme = 1 &amp; P(x) &gt;= 0 donc PMF valable</t>
  </si>
  <si>
    <t xml:space="preserve">Histogramme des ST avec PMF(k) : </t>
  </si>
  <si>
    <t>Je dois calculer p pour faire mon pmf, j'utilise la loi binomiale pour trouver p : 
p=(e^{r∆t}-d)/u-d</t>
  </si>
  <si>
    <t>PayoffCall(k)</t>
  </si>
  <si>
    <t>E[Payoff]</t>
  </si>
  <si>
    <t>Dans la partie 2 j'augmente les données dans le 
tableau avec le Payoff, Espérance du payoff, 
Prix option, Calcul du prix de la note structurée</t>
  </si>
  <si>
    <t>PrixOption</t>
  </si>
  <si>
    <t xml:space="preserve">Prix d'une obligation : Nominal 100, durée identique: </t>
  </si>
  <si>
    <t>Il reste donc moins d'un € pour acheter l'option hors
ce qui est proposé est supérieur à 1€, donc pour 
bénéficier des deux produits il va falloir s'endetter 
au taux sans risque pour le montant correspondant 
au surplus pour l'achat des deux produits.</t>
  </si>
  <si>
    <t>PrixProduit</t>
  </si>
  <si>
    <t>Il faut donc le montant suivant pour acheter l'option 
la moins chère qui à un potentiel rentable</t>
  </si>
  <si>
    <t>Il faut théoriquement emprunter ce montant au taux 
sans risque afin de pouvoir bénéficier du produit mais la meilleure option est d'augmenter la durée de l'option et de l'obligation pour avoir au final un financement sans risque avec le Nominal qui financera les deux produits.</t>
  </si>
  <si>
    <t>Pourcentage du Capital consacré à l'obligation :</t>
  </si>
  <si>
    <t xml:space="preserve">Pourcentage du capital consacré à l'option : </t>
  </si>
  <si>
    <t>Gain Potentiel :</t>
  </si>
  <si>
    <t xml:space="preserve">Gain potentiel Final : </t>
  </si>
  <si>
    <t>Le Gain potentiel ignore les intérets sur 
les € empruntés qui serait avec un taux d'intérêt continu :</t>
  </si>
  <si>
    <t xml:space="preserve">Donc le résultat final est une perte qui sera plus 
élevée en prenant en compte le remboursement des intérêts.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</si>
</sst>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Aptos Narrow"/>
      <family val="2"/>
      <scheme val="minor"/>
    </font>
  </fonts>
  <fills count="5">
    <fill>
      <patternFill patternType="none"/>
    </fill>
    <fill>
      <patternFill patternType="gray125"/>
    </fill>
    <fill>
      <patternFill patternType="solid">
        <fgColor theme="3" tint="0.499984740745262"/>
        <bgColor indexed="64"/>
      </patternFill>
    </fill>
    <fill>
      <patternFill patternType="solid">
        <fgColor rgb="FFFFFF00"/>
        <bgColor indexed="64"/>
      </patternFill>
    </fill>
    <fill>
      <patternFill patternType="solid">
        <fgColor theme="0"/>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applyAlignment="1">
      <alignment vertical="center"/>
    </xf>
    <xf numFmtId="0" fontId="0" fillId="0" borderId="0" xfId="0" applyAlignment="1">
      <alignment horizontal="left"/>
    </xf>
    <xf numFmtId="2" fontId="0" fillId="0" borderId="0" xfId="0" applyNumberFormat="1"/>
    <xf numFmtId="0" fontId="0" fillId="3" borderId="0" xfId="0" applyFill="1"/>
    <xf numFmtId="0" fontId="0" fillId="0" borderId="0" xfId="0" applyAlignment="1">
      <alignment wrapText="1"/>
    </xf>
    <xf numFmtId="0" fontId="0" fillId="3" borderId="0" xfId="0" applyFill="1" applyAlignment="1">
      <alignment wrapText="1"/>
    </xf>
    <xf numFmtId="0" fontId="0" fillId="4" borderId="0" xfId="0" applyFill="1" applyAlignment="1">
      <alignment wrapText="1"/>
    </xf>
  </cellXfs>
  <cellStyles count="1">
    <cellStyle name="Normal" xfId="0" builtinId="0"/>
  </cellStyles>
  <dxfs count="2">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baseline="0">
                <a:solidFill>
                  <a:schemeClr val="tx1">
                    <a:lumMod val="65000"/>
                    <a:lumOff val="35000"/>
                  </a:schemeClr>
                </a:solidFill>
                <a:latin typeface="+mn-lt"/>
                <a:ea typeface="+mn-ea"/>
                <a:cs typeface="+mn-cs"/>
              </a:defRPr>
            </a:pPr>
            <a:r>
              <a:rPr lang="en-US" sz="1400" b="0" i="0" u="none" strike="noStrike" baseline="0">
                <a:solidFill>
                  <a:sysClr val="windowText" lastClr="000000">
                    <a:lumMod val="65000"/>
                    <a:lumOff val="35000"/>
                  </a:sysClr>
                </a:solidFill>
                <a:latin typeface="Aptos Narrow" panose="02110004020202020204"/>
              </a:rPr>
              <a:t>Distribution du prix final ST d'une option européenne</a:t>
            </a:r>
          </a:p>
        </c:rich>
      </c:tx>
      <c:layout>
        <c:manualLayout>
          <c:xMode val="edge"/>
          <c:yMode val="edge"/>
          <c:x val="0.20651804749999447"/>
          <c:y val="4.1502094205788098E-2"/>
        </c:manualLayout>
      </c:layout>
      <c:overlay val="0"/>
      <c:spPr>
        <a:noFill/>
        <a:ln>
          <a:noFill/>
        </a:ln>
        <a:effectLst/>
      </c:spPr>
      <c:txPr>
        <a:bodyPr rot="0" spcFirstLastPara="1" vertOverflow="ellipsis" vert="horz" wrap="square" anchor="ctr" anchorCtr="1"/>
        <a:lstStyle/>
        <a:p>
          <a:pPr>
            <a:defRPr sz="1400" b="0" i="0" u="none" strike="noStrike"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tx1">
                <a:lumMod val="50000"/>
                <a:lumOff val="50000"/>
              </a:schemeClr>
            </a:solidFill>
            <a:ln w="12700">
              <a:solidFill>
                <a:schemeClr val="tx1"/>
              </a:solidFill>
            </a:ln>
            <a:effectLst>
              <a:outerShdw blurRad="50800" dist="50800" dir="5400000" algn="ctr" rotWithShape="0">
                <a:schemeClr val="tx1">
                  <a:alpha val="83000"/>
                </a:schemeClr>
              </a:outerShdw>
              <a:softEdge rad="0"/>
            </a:effectLst>
          </c:spPr>
          <c:invertIfNegative val="0"/>
          <c:cat>
            <c:numRef>
              <c:f>Terminal!$C$4:$C$9</c:f>
              <c:numCache>
                <c:formatCode>General</c:formatCode>
                <c:ptCount val="6"/>
                <c:pt idx="0">
                  <c:v>65.610000000000014</c:v>
                </c:pt>
                <c:pt idx="1">
                  <c:v>81.648000000000025</c:v>
                </c:pt>
                <c:pt idx="2">
                  <c:v>101.60640000000002</c:v>
                </c:pt>
                <c:pt idx="3">
                  <c:v>126.44352000000005</c:v>
                </c:pt>
                <c:pt idx="4">
                  <c:v>157.35193600000002</c:v>
                </c:pt>
              </c:numCache>
            </c:numRef>
          </c:cat>
          <c:val>
            <c:numRef>
              <c:f>Terminal!$D$4:$D$9</c:f>
              <c:numCache>
                <c:formatCode>General</c:formatCode>
                <c:ptCount val="6"/>
                <c:pt idx="0">
                  <c:v>4.2688340960317012E-2</c:v>
                </c:pt>
                <c:pt idx="1">
                  <c:v>0.20490403660952144</c:v>
                </c:pt>
                <c:pt idx="2">
                  <c:v>0.36882726589713827</c:v>
                </c:pt>
                <c:pt idx="3">
                  <c:v>0.29506181271771031</c:v>
                </c:pt>
                <c:pt idx="4">
                  <c:v>8.8518543815313003E-2</c:v>
                </c:pt>
              </c:numCache>
            </c:numRef>
          </c:val>
          <c:extLst>
            <c:ext xmlns:c16="http://schemas.microsoft.com/office/drawing/2014/chart" uri="{C3380CC4-5D6E-409C-BE32-E72D297353CC}">
              <c16:uniqueId val="{00000000-D4C3-9E4A-8479-A8F3070380BB}"/>
            </c:ext>
          </c:extLst>
        </c:ser>
        <c:dLbls>
          <c:showLegendKey val="0"/>
          <c:showVal val="0"/>
          <c:showCatName val="0"/>
          <c:showSerName val="0"/>
          <c:showPercent val="0"/>
          <c:showBubbleSize val="0"/>
        </c:dLbls>
        <c:gapWidth val="0"/>
        <c:axId val="493966144"/>
        <c:axId val="483237760"/>
      </c:barChart>
      <c:catAx>
        <c:axId val="4939661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baseline="0">
                <a:solidFill>
                  <a:schemeClr val="tx1">
                    <a:lumMod val="65000"/>
                    <a:lumOff val="35000"/>
                  </a:schemeClr>
                </a:solidFill>
                <a:latin typeface="+mn-lt"/>
                <a:ea typeface="+mn-ea"/>
                <a:cs typeface="+mn-cs"/>
              </a:defRPr>
            </a:pPr>
            <a:endParaRPr lang="en-US"/>
          </a:p>
        </c:txPr>
        <c:crossAx val="483237760"/>
        <c:crosses val="autoZero"/>
        <c:auto val="1"/>
        <c:lblAlgn val="ctr"/>
        <c:lblOffset val="100"/>
        <c:noMultiLvlLbl val="0"/>
      </c:catAx>
      <c:valAx>
        <c:axId val="4832377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baseline="0">
                <a:solidFill>
                  <a:schemeClr val="tx1">
                    <a:lumMod val="65000"/>
                    <a:lumOff val="35000"/>
                  </a:schemeClr>
                </a:solidFill>
                <a:latin typeface="+mn-lt"/>
                <a:ea typeface="+mn-ea"/>
                <a:cs typeface="+mn-cs"/>
              </a:defRPr>
            </a:pPr>
            <a:endParaRPr lang="en-US"/>
          </a:p>
        </c:txPr>
        <c:crossAx val="4939661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132815</xdr:colOff>
      <xdr:row>1</xdr:row>
      <xdr:rowOff>77828</xdr:rowOff>
    </xdr:from>
    <xdr:to>
      <xdr:col>6</xdr:col>
      <xdr:colOff>587781</xdr:colOff>
      <xdr:row>14</xdr:row>
      <xdr:rowOff>190313</xdr:rowOff>
    </xdr:to>
    <xdr:graphicFrame macro="">
      <xdr:nvGraphicFramePr>
        <xdr:cNvPr id="2" name="Chart 1">
          <a:extLst>
            <a:ext uri="{FF2B5EF4-FFF2-40B4-BE49-F238E27FC236}">
              <a16:creationId xmlns:a16="http://schemas.microsoft.com/office/drawing/2014/main" id="{D523A306-10AE-2585-800B-A01D26F1FE4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353BE6D-19C1-F04D-AD16-EC192E4F747E}" name="Table1" displayName="Table1" ref="B2:D16" totalsRowShown="0">
  <autoFilter ref="B2:D16" xr:uid="{3353BE6D-19C1-F04D-AD16-EC192E4F747E}">
    <filterColumn colId="0" hiddenButton="1"/>
    <filterColumn colId="1" hiddenButton="1"/>
    <filterColumn colId="2" hiddenButton="1"/>
  </autoFilter>
  <tableColumns count="3">
    <tableColumn id="1" xr3:uid="{66A19D14-FCB5-B147-AF23-8329904E9F0D}" name="Nom du paramètre"/>
    <tableColumn id="2" xr3:uid="{04867F1B-A5F5-494B-A18A-70F5836D9E0D}" name="Symbole"/>
    <tableColumn id="3" xr3:uid="{0A4CA48A-7AAB-6E43-9815-851A83B32371}" name="Valeur"/>
  </tableColumns>
  <tableStyleInfo name="TableStyleMedium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DA07972-444A-7140-A14A-E1A3BFB6F035}" name="Table2" displayName="Table2" ref="B3:H8" totalsRowShown="0">
  <autoFilter ref="B3:H8" xr:uid="{6DA07972-444A-7140-A14A-E1A3BFB6F035}">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D0D5BEB6-3E20-2745-ACCB-878E59A5F969}" name="k"/>
    <tableColumn id="2" xr3:uid="{4229E967-91D8-0845-BA15-27AC16508352}" name="ST(k)" dataDxfId="1">
      <calculatedColumnFormula>S_0*u^Table2[[#This Row],[k]]*d^(N-Table2[[#This Row],[k]])</calculatedColumnFormula>
    </tableColumn>
    <tableColumn id="3" xr3:uid="{40212D0E-9712-9443-915B-497AEC5BBE0A}" name="PMF(k)" dataDxfId="0">
      <calculatedColumnFormula>COMBIN(N,Table2[[#This Row],[k]])*B11^Table2[[#This Row],[k]]*(1-B11)</calculatedColumnFormula>
    </tableColumn>
    <tableColumn id="4" xr3:uid="{DDA86D76-CA41-DD40-BCD3-31DE6F99BD02}" name="PayoffCall(k)"/>
    <tableColumn id="5" xr3:uid="{C03F4457-7483-1B45-B2D4-26A086001577}" name="E[Payoff]"/>
    <tableColumn id="6" xr3:uid="{675E1980-585A-E940-9D86-C1E896D79C9B}" name="PrixOption"/>
    <tableColumn id="7" xr3:uid="{56231258-B9BB-C445-8F00-577AB83425ED}" name="PrixProduit"/>
  </tableColumns>
  <tableStyleInfo name="TableStyleMedium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662CB1CE-EA9C-0945-A7A1-F0EB4C2DA33F}">
  <we:reference id="wa104381695" version="1.0.10.0" store="en-US" storeType="OMEX"/>
  <we:alternateReferences>
    <we:reference id="WA104381695" version="1.0.10.0" store="" storeType="OMEX"/>
  </we:alternateReferences>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A81CDB-18D9-0846-8571-816DAB15A015}">
  <dimension ref="A1:D16"/>
  <sheetViews>
    <sheetView zoomScale="125" workbookViewId="0">
      <selection activeCell="D8" sqref="D8"/>
    </sheetView>
  </sheetViews>
  <sheetFormatPr baseColWidth="10" defaultRowHeight="16" x14ac:dyDescent="0.2"/>
  <cols>
    <col min="1" max="1" width="63" customWidth="1"/>
    <col min="2" max="2" width="30.83203125" customWidth="1"/>
    <col min="3" max="4" width="11" customWidth="1"/>
    <col min="5" max="5" width="24.1640625" customWidth="1"/>
  </cols>
  <sheetData>
    <row r="1" spans="1:4" ht="40" customHeight="1" x14ac:dyDescent="0.2">
      <c r="A1" s="1" t="s">
        <v>0</v>
      </c>
    </row>
    <row r="2" spans="1:4" x14ac:dyDescent="0.2">
      <c r="A2" s="4" t="s">
        <v>32</v>
      </c>
      <c r="B2" t="s">
        <v>1</v>
      </c>
      <c r="C2" t="s">
        <v>2</v>
      </c>
      <c r="D2" t="s">
        <v>3</v>
      </c>
    </row>
    <row r="3" spans="1:4" x14ac:dyDescent="0.2">
      <c r="B3" t="s">
        <v>4</v>
      </c>
      <c r="C3" t="s">
        <v>5</v>
      </c>
      <c r="D3">
        <v>100</v>
      </c>
    </row>
    <row r="4" spans="1:4" x14ac:dyDescent="0.2">
      <c r="B4" t="s">
        <v>6</v>
      </c>
      <c r="C4" t="s">
        <v>7</v>
      </c>
      <c r="D4">
        <v>1.1200000000000001</v>
      </c>
    </row>
    <row r="5" spans="1:4" x14ac:dyDescent="0.2">
      <c r="B5" t="s">
        <v>10</v>
      </c>
      <c r="C5" t="s">
        <v>8</v>
      </c>
      <c r="D5">
        <v>0.9</v>
      </c>
    </row>
    <row r="6" spans="1:4" x14ac:dyDescent="0.2">
      <c r="B6" t="s">
        <v>11</v>
      </c>
      <c r="C6" t="s">
        <v>9</v>
      </c>
      <c r="D6">
        <v>0.02</v>
      </c>
    </row>
    <row r="7" spans="1:4" x14ac:dyDescent="0.2">
      <c r="B7" t="s">
        <v>12</v>
      </c>
      <c r="C7" t="s">
        <v>22</v>
      </c>
      <c r="D7">
        <v>4</v>
      </c>
    </row>
    <row r="8" spans="1:4" x14ac:dyDescent="0.2">
      <c r="B8" t="s">
        <v>25</v>
      </c>
      <c r="C8" t="s">
        <v>24</v>
      </c>
      <c r="D8" s="3">
        <f>5/12</f>
        <v>0.41666666666666669</v>
      </c>
    </row>
    <row r="9" spans="1:4" x14ac:dyDescent="0.2">
      <c r="B9" t="s">
        <v>13</v>
      </c>
      <c r="C9" t="s">
        <v>23</v>
      </c>
      <c r="D9">
        <v>105</v>
      </c>
    </row>
    <row r="10" spans="1:4" x14ac:dyDescent="0.2">
      <c r="B10" t="s">
        <v>14</v>
      </c>
      <c r="C10" t="s">
        <v>26</v>
      </c>
      <c r="D10">
        <v>100</v>
      </c>
    </row>
    <row r="11" spans="1:4" x14ac:dyDescent="0.2">
      <c r="B11" t="s">
        <v>31</v>
      </c>
      <c r="C11" s="2" t="s">
        <v>27</v>
      </c>
      <c r="D11">
        <v>0.3</v>
      </c>
    </row>
    <row r="12" spans="1:4" x14ac:dyDescent="0.2">
      <c r="B12" t="s">
        <v>15</v>
      </c>
      <c r="C12" t="s">
        <v>28</v>
      </c>
      <c r="D12">
        <v>0.8</v>
      </c>
    </row>
    <row r="13" spans="1:4" x14ac:dyDescent="0.2">
      <c r="B13" t="s">
        <v>16</v>
      </c>
      <c r="C13" t="s">
        <v>29</v>
      </c>
      <c r="D13">
        <v>100000</v>
      </c>
    </row>
    <row r="14" spans="1:4" x14ac:dyDescent="0.2">
      <c r="B14" t="s">
        <v>17</v>
      </c>
      <c r="C14" t="s">
        <v>30</v>
      </c>
      <c r="D14">
        <v>0.05</v>
      </c>
    </row>
    <row r="15" spans="1:4" x14ac:dyDescent="0.2">
      <c r="B15" t="s">
        <v>20</v>
      </c>
      <c r="C15" t="s">
        <v>18</v>
      </c>
    </row>
    <row r="16" spans="1:4" x14ac:dyDescent="0.2">
      <c r="B16" t="s">
        <v>21</v>
      </c>
      <c r="C16" t="s">
        <v>19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43DEF-A249-8449-9F03-39A54DCC86CF}">
  <dimension ref="A1:H27"/>
  <sheetViews>
    <sheetView tabSelected="1" zoomScale="112" workbookViewId="0">
      <selection activeCell="F16" sqref="F16"/>
    </sheetView>
  </sheetViews>
  <sheetFormatPr baseColWidth="10" defaultRowHeight="16" x14ac:dyDescent="0.2"/>
  <cols>
    <col min="1" max="1" width="43.83203125" customWidth="1"/>
    <col min="2" max="3" width="11" customWidth="1"/>
    <col min="5" max="5" width="12.1640625" customWidth="1"/>
  </cols>
  <sheetData>
    <row r="1" spans="1:8" x14ac:dyDescent="0.2">
      <c r="A1" s="4" t="s">
        <v>33</v>
      </c>
    </row>
    <row r="2" spans="1:8" ht="51" customHeight="1" x14ac:dyDescent="0.2">
      <c r="A2" s="5" t="s">
        <v>34</v>
      </c>
    </row>
    <row r="3" spans="1:8" x14ac:dyDescent="0.2">
      <c r="B3" t="s">
        <v>37</v>
      </c>
      <c r="C3" t="s">
        <v>36</v>
      </c>
      <c r="D3" t="s">
        <v>35</v>
      </c>
      <c r="E3" t="s">
        <v>43</v>
      </c>
      <c r="F3" t="s">
        <v>44</v>
      </c>
      <c r="G3" t="s">
        <v>46</v>
      </c>
      <c r="H3" t="s">
        <v>49</v>
      </c>
    </row>
    <row r="4" spans="1:8" x14ac:dyDescent="0.2">
      <c r="B4">
        <v>0</v>
      </c>
      <c r="C4">
        <f>S_0*u^Table2[[#This Row],[k]]*d^(N-Table2[[#This Row],[k]])</f>
        <v>65.610000000000014</v>
      </c>
      <c r="D4">
        <f>COMBIN(N,Table2[[#This Row],[k]])*B11^Table2[[#This Row],[k]]*(1-B11)^4</f>
        <v>4.2688340960317012E-2</v>
      </c>
      <c r="E4">
        <f>MAX(Table2[[#This Row],[ST(k)]]-K,0)</f>
        <v>0</v>
      </c>
      <c r="F4">
        <f>SUMPRODUCT(Table2[[#This Row],[PMF(k)]],Table2[[#This Row],[PayoffCall(k)]])</f>
        <v>0</v>
      </c>
      <c r="G4">
        <f>EXP(-r_*Table2[[#This Row],[k]])*Table2[[#This Row],[E'[Payoff']]]</f>
        <v>0</v>
      </c>
      <c r="H4">
        <f>Table2[[#This Row],[PrixOption]]+B18</f>
        <v>0.82987073611239737</v>
      </c>
    </row>
    <row r="5" spans="1:8" x14ac:dyDescent="0.2">
      <c r="B5">
        <v>1</v>
      </c>
      <c r="C5">
        <f>S_0*u^Table2[[#This Row],[k]]*d^(N-Table2[[#This Row],[k]])</f>
        <v>81.648000000000025</v>
      </c>
      <c r="D5">
        <f>COMBIN(N,Table2[[#This Row],[k]])*B11^Table2[[#This Row],[k]]*(1-B11)^3</f>
        <v>0.20490403660952144</v>
      </c>
      <c r="E5">
        <f>MAX(Table2[[#This Row],[ST(k)]]-K,0)</f>
        <v>0</v>
      </c>
      <c r="F5">
        <f>SUMPRODUCT(Table2[[#This Row],[PMF(k)]],Table2[[#This Row],[PayoffCall(k)]])</f>
        <v>0</v>
      </c>
      <c r="G5">
        <f>EXP(-r_*Table2[[#This Row],[k]])*Table2[[#This Row],[E'[Payoff']]]</f>
        <v>0</v>
      </c>
      <c r="H5">
        <f>Table2[[#This Row],[PrixOption]]+B18</f>
        <v>0.82987073611239737</v>
      </c>
    </row>
    <row r="6" spans="1:8" x14ac:dyDescent="0.2">
      <c r="B6">
        <v>2</v>
      </c>
      <c r="C6">
        <f>S_0*u^Table2[[#This Row],[k]]*d^(N-Table2[[#This Row],[k]])</f>
        <v>101.60640000000002</v>
      </c>
      <c r="D6">
        <f>COMBIN(N,Table2[[#This Row],[k]])*B11^Table2[[#This Row],[k]]*(1-B11)^2</f>
        <v>0.36882726589713827</v>
      </c>
      <c r="E6">
        <f>MAX(Table2[[#This Row],[ST(k)]]-K,0)</f>
        <v>0</v>
      </c>
      <c r="F6">
        <f>SUMPRODUCT(Table2[[#This Row],[PMF(k)]],Table2[[#This Row],[PayoffCall(k)]])</f>
        <v>0</v>
      </c>
      <c r="G6">
        <f>EXP(-r_*Table2[[#This Row],[k]])*Table2[[#This Row],[E'[Payoff']]]</f>
        <v>0</v>
      </c>
      <c r="H6">
        <f>Table2[[#This Row],[PrixOption]]+B18</f>
        <v>0.82987073611239737</v>
      </c>
    </row>
    <row r="7" spans="1:8" x14ac:dyDescent="0.2">
      <c r="B7">
        <v>3</v>
      </c>
      <c r="C7">
        <f>S_0*u^Table2[[#This Row],[k]]*d^(N-Table2[[#This Row],[k]])</f>
        <v>126.44352000000005</v>
      </c>
      <c r="D7">
        <f>COMBIN(N,Table2[[#This Row],[k]])*B11^Table2[[#This Row],[k]]*(1-B11)^1</f>
        <v>0.29506181271771031</v>
      </c>
      <c r="E7">
        <f>MAX(Table2[[#This Row],[ST(k)]]-K,0)</f>
        <v>21.443520000000049</v>
      </c>
      <c r="F7">
        <f>SUMPRODUCT(Table2[[#This Row],[PMF(k)]],Table2[[#This Row],[PayoffCall(k)]])</f>
        <v>6.3271638822484899</v>
      </c>
      <c r="G7">
        <f>EXP(-r_*Table2[[#This Row],[k]])*Table2[[#This Row],[E'[Payoff']]]</f>
        <v>5.9586985424768537</v>
      </c>
      <c r="H7">
        <f>Table2[[#This Row],[PrixOption]]+B18</f>
        <v>6.7885692785892511</v>
      </c>
    </row>
    <row r="8" spans="1:8" x14ac:dyDescent="0.2">
      <c r="B8">
        <v>4</v>
      </c>
      <c r="C8">
        <f>S_0*u^Table2[[#This Row],[k]]*d^(N-Table2[[#This Row],[k]])</f>
        <v>157.35193600000002</v>
      </c>
      <c r="D8">
        <f>COMBIN(N,Table2[[#This Row],[k]])*B11^Table2[[#This Row],[k]]*(1-B11)^0</f>
        <v>8.8518543815313003E-2</v>
      </c>
      <c r="E8">
        <f>MAX(Table2[[#This Row],[ST(k)]]-K,0)</f>
        <v>52.351936000000023</v>
      </c>
      <c r="F8">
        <f>SUMPRODUCT(Table2[[#This Row],[PMF(k)]],Table2[[#This Row],[PayoffCall(k)]])</f>
        <v>4.6341171406324646</v>
      </c>
      <c r="G8">
        <f>EXP(-r_*Table2[[#This Row],[k]])*Table2[[#This Row],[E'[Payoff']]]</f>
        <v>4.277829283588324</v>
      </c>
      <c r="H8">
        <f>Table2[[#This Row],[PrixOption]]+B18</f>
        <v>5.1077000197007214</v>
      </c>
    </row>
    <row r="9" spans="1:8" ht="51" x14ac:dyDescent="0.2">
      <c r="A9" s="5" t="s">
        <v>38</v>
      </c>
    </row>
    <row r="11" spans="1:8" ht="46" customHeight="1" x14ac:dyDescent="0.2">
      <c r="A11" s="5" t="s">
        <v>42</v>
      </c>
      <c r="B11">
        <f>((1+r_)-d)/(u-d)</f>
        <v>0.54545454545454519</v>
      </c>
    </row>
    <row r="12" spans="1:8" x14ac:dyDescent="0.2">
      <c r="A12" s="4" t="s">
        <v>39</v>
      </c>
      <c r="B12">
        <f>SUM(Table2[PMF(k)])</f>
        <v>1.0000000000000002</v>
      </c>
    </row>
    <row r="13" spans="1:8" x14ac:dyDescent="0.2">
      <c r="A13" t="s">
        <v>40</v>
      </c>
    </row>
    <row r="15" spans="1:8" ht="51" x14ac:dyDescent="0.2">
      <c r="A15" s="6" t="s">
        <v>45</v>
      </c>
    </row>
    <row r="17" spans="1:2" x14ac:dyDescent="0.2">
      <c r="A17" t="s">
        <v>47</v>
      </c>
      <c r="B17">
        <f xml:space="preserve"> 100*EXP(-r_*T)</f>
        <v>99.170129263887603</v>
      </c>
    </row>
    <row r="18" spans="1:2" ht="85" x14ac:dyDescent="0.2">
      <c r="A18" s="5" t="s">
        <v>48</v>
      </c>
      <c r="B18">
        <f>C_-B17</f>
        <v>0.82987073611239737</v>
      </c>
    </row>
    <row r="19" spans="1:2" ht="34" x14ac:dyDescent="0.2">
      <c r="A19" s="5" t="s">
        <v>50</v>
      </c>
      <c r="B19">
        <f xml:space="preserve"> B18-H8</f>
        <v>-4.277829283588324</v>
      </c>
    </row>
    <row r="20" spans="1:2" ht="102" x14ac:dyDescent="0.2">
      <c r="A20" s="5" t="s">
        <v>51</v>
      </c>
    </row>
    <row r="22" spans="1:2" ht="17" x14ac:dyDescent="0.2">
      <c r="A22" s="6" t="s">
        <v>52</v>
      </c>
      <c r="B22">
        <f xml:space="preserve"> (B17/C_)*100</f>
        <v>99.170129263887603</v>
      </c>
    </row>
    <row r="23" spans="1:2" ht="17" x14ac:dyDescent="0.2">
      <c r="A23" s="6" t="s">
        <v>53</v>
      </c>
      <c r="B23">
        <f>(H8/C_)*100</f>
        <v>5.1077000197007214</v>
      </c>
    </row>
    <row r="24" spans="1:2" ht="17" x14ac:dyDescent="0.2">
      <c r="A24" s="6" t="s">
        <v>54</v>
      </c>
      <c r="B24">
        <f>(C_+F8)-(B22+B23-B19)</f>
        <v>-3.9215414265441666</v>
      </c>
    </row>
    <row r="25" spans="1:2" ht="51" x14ac:dyDescent="0.2">
      <c r="A25" s="5" t="s">
        <v>56</v>
      </c>
      <c r="B25">
        <f>-B19*EXP(r_*T)</f>
        <v>4.3136268101508648</v>
      </c>
    </row>
    <row r="26" spans="1:2" ht="17" x14ac:dyDescent="0.2">
      <c r="A26" s="6" t="s">
        <v>55</v>
      </c>
      <c r="B26">
        <f>(C_+F8)-(B22+B23+B25)</f>
        <v>-3.9573389531067136</v>
      </c>
    </row>
    <row r="27" spans="1:2" ht="51" x14ac:dyDescent="0.2">
      <c r="A27" s="7" t="s">
        <v>57</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ED33A5-E1BF-8E46-9588-EC194010A48F}">
  <dimension ref="A1"/>
  <sheetViews>
    <sheetView zoomScale="119" workbookViewId="0">
      <selection activeCell="D21" sqref="D21"/>
    </sheetView>
  </sheetViews>
  <sheetFormatPr baseColWidth="10" defaultRowHeight="16" x14ac:dyDescent="0.2"/>
  <cols>
    <col min="1" max="1" width="30.83203125" customWidth="1"/>
  </cols>
  <sheetData>
    <row r="1" spans="1:1" x14ac:dyDescent="0.2">
      <c r="A1" s="4" t="s">
        <v>41</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3</vt:i4>
      </vt:variant>
      <vt:variant>
        <vt:lpstr>Named Ranges</vt:lpstr>
      </vt:variant>
      <vt:variant>
        <vt:i4>14</vt:i4>
      </vt:variant>
    </vt:vector>
  </HeadingPairs>
  <TitlesOfParts>
    <vt:vector size="17" baseType="lpstr">
      <vt:lpstr>Inputs</vt:lpstr>
      <vt:lpstr>Terminal</vt:lpstr>
      <vt:lpstr>Graphique</vt:lpstr>
      <vt:lpstr>C_</vt:lpstr>
      <vt:lpstr>d</vt:lpstr>
      <vt:lpstr>J</vt:lpstr>
      <vt:lpstr>K</vt:lpstr>
      <vt:lpstr>M</vt:lpstr>
      <vt:lpstr>N</vt:lpstr>
      <vt:lpstr>P_S_def</vt:lpstr>
      <vt:lpstr>P_S_nodef</vt:lpstr>
      <vt:lpstr>q</vt:lpstr>
      <vt:lpstr>r_</vt:lpstr>
      <vt:lpstr>S_0</vt:lpstr>
      <vt:lpstr>T</vt:lpstr>
      <vt:lpstr>u</vt:lpstr>
      <vt:lpstr>λ</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Yannis MOUTON</dc:creator>
  <cp:lastModifiedBy>Yannis MOUTON</cp:lastModifiedBy>
  <dcterms:created xsi:type="dcterms:W3CDTF">2025-10-21T14:41:10Z</dcterms:created>
  <dcterms:modified xsi:type="dcterms:W3CDTF">2025-10-23T09:11:02Z</dcterms:modified>
</cp:coreProperties>
</file>