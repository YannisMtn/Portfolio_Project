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yannismouton/Documents/Development/Portfolio_Project/Cas_Pratique_1/Partie4/"/>
    </mc:Choice>
  </mc:AlternateContent>
  <xr:revisionPtr revIDLastSave="0" documentId="13_ncr:1_{3AB5BDC6-F6B7-264A-B211-0F9F1E8E4AB8}" xr6:coauthVersionLast="47" xr6:coauthVersionMax="47" xr10:uidLastSave="{00000000-0000-0000-0000-000000000000}"/>
  <bookViews>
    <workbookView xWindow="0" yWindow="660" windowWidth="34560" windowHeight="21680" xr2:uid="{D87A50B6-1474-EA47-9098-9D77C47AEB21}"/>
  </bookViews>
  <sheets>
    <sheet name="Input+Terminal Bay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 a="1"/>
  <c r="C11" i="1" s="1"/>
  <c r="C6" i="1" a="1"/>
  <c r="C5" i="1" a="1"/>
  <c r="C6" i="1" l="1"/>
  <c r="C5" i="1"/>
  <c r="C10" i="1" s="1" a="1"/>
  <c r="C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<sst xmlns="http://schemas.openxmlformats.org/spreadsheetml/2006/main" count="17" uniqueCount="17">
  <si>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>On observe un signal (ex:"downgrade") sur l'émetteur.
On veut recalculer la probabilité de défaut.</t>
  </si>
  <si>
    <t>Paramètres :</t>
  </si>
  <si>
    <t>P(S|def)</t>
  </si>
  <si>
    <t>P(S|no def)</t>
  </si>
  <si>
    <t>Calculer P(def|S) et P(no def|S)</t>
  </si>
  <si>
    <t>Recalculer le prix de l'obligation :</t>
  </si>
  <si>
    <t>q = P(def)</t>
  </si>
  <si>
    <t>Theoreme de Bayes : P(def|S) = [P(S|def) × P(def)] / P(S)</t>
  </si>
  <si>
    <t xml:space="preserve">P(def|S) : </t>
  </si>
  <si>
    <t>P(nodef|S) :</t>
  </si>
  <si>
    <t>r</t>
  </si>
  <si>
    <t>t</t>
  </si>
  <si>
    <t>Prix obligation Bayes :</t>
  </si>
  <si>
    <t>Capital</t>
  </si>
  <si>
    <t>Prix obligation :</t>
  </si>
  <si>
    <t>La différence de prix (-12.29) représente la "prime de 
risque bayésienne" - la décote nécessaire pour compenser le 
risque de défaut réévalué grâce à l'information 
supplémentaire (le signal S)</t>
  </si>
  <si>
    <t>Que se passe t'il si le signal est plus fréquent P(S|no def)=0.4 ?
On obtient une obligation de bayes qui passe à 91.9 donc l'écart 
se réduit car le signal se déclenche trop souvent et devient 
moins utile pour détecter les vrais problèmes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</si>
</sst>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0"/>
      <name val="Aptos Narrow (Body)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1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915D6C-0E82-C54E-BB19-8378F79E126E}" name="Table1" displayName="Table1" ref="B2:G3" totalsRowShown="0">
  <autoFilter ref="B2:G3" xr:uid="{B2915D6C-0E82-C54E-BB19-8378F79E126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ABBC6F7-FECF-9447-91CB-7ED0AFA7D544}" name="q = P(def)"/>
    <tableColumn id="2" xr3:uid="{DBB8CEB4-3A8C-7B44-8987-F4E49FA15DEF}" name="P(S|def)"/>
    <tableColumn id="3" xr3:uid="{53B77C22-159F-3043-B8CA-5F4FBEDBBDA4}" name="P(S|no def)"/>
    <tableColumn id="4" xr3:uid="{FB227DCB-FD88-6A44-BBB1-96DDCE10D043}" name="r"/>
    <tableColumn id="5" xr3:uid="{2CAD77ED-14AF-1B40-BB3E-2E8089B66C1A}" name="t"/>
    <tableColumn id="6" xr3:uid="{ED0B7105-63C8-1643-8D73-3ADC9ADAEBD6}" name="Capital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D5F6-6D87-CB43-A421-E9344A10E5CD}">
  <sheetPr codeName="Sheet1"/>
  <dimension ref="A1:G14"/>
  <sheetViews>
    <sheetView tabSelected="1" workbookViewId="0">
      <selection activeCell="B13" sqref="B13"/>
    </sheetView>
  </sheetViews>
  <sheetFormatPr baseColWidth="10" defaultRowHeight="16" x14ac:dyDescent="0.2"/>
  <cols>
    <col min="1" max="1" width="53.83203125" customWidth="1"/>
    <col min="2" max="2" width="18.6640625" customWidth="1"/>
    <col min="3" max="4" width="11" customWidth="1"/>
  </cols>
  <sheetData>
    <row r="1" spans="1:7" ht="34" x14ac:dyDescent="0.2">
      <c r="A1" s="2" t="s">
        <v>0</v>
      </c>
    </row>
    <row r="2" spans="1:7" x14ac:dyDescent="0.2">
      <c r="A2" s="3" t="s">
        <v>1</v>
      </c>
      <c r="B2" t="s">
        <v>6</v>
      </c>
      <c r="C2" t="s">
        <v>2</v>
      </c>
      <c r="D2" t="s">
        <v>3</v>
      </c>
      <c r="E2" t="s">
        <v>10</v>
      </c>
      <c r="F2" t="s">
        <v>11</v>
      </c>
      <c r="G2" t="s">
        <v>13</v>
      </c>
    </row>
    <row r="3" spans="1:7" x14ac:dyDescent="0.2">
      <c r="B3">
        <v>0.05</v>
      </c>
      <c r="C3">
        <v>0.8</v>
      </c>
      <c r="D3">
        <v>0.2</v>
      </c>
      <c r="E3">
        <v>0.02</v>
      </c>
      <c r="F3">
        <v>0.42</v>
      </c>
      <c r="G3">
        <v>100</v>
      </c>
    </row>
    <row r="5" spans="1:7" x14ac:dyDescent="0.2">
      <c r="A5" t="s">
        <v>4</v>
      </c>
      <c r="B5" s="4" t="s">
        <v>8</v>
      </c>
      <c r="C5" cm="1">
        <f t="array" ref="C5">Bayes(Table1[q = P(def)],Table1[P(S|def)],Table1[P(S|no def)],TRUE)</f>
        <v>0.17391304347826089</v>
      </c>
    </row>
    <row r="6" spans="1:7" x14ac:dyDescent="0.2">
      <c r="B6" s="4" t="s">
        <v>9</v>
      </c>
      <c r="C6" cm="1">
        <f t="array" ref="C6">Bayes(Table1[q = P(def)],Table1[P(S|def)],Table1[P(S|no def)],FALSE)</f>
        <v>0.82608695652173914</v>
      </c>
    </row>
    <row r="10" spans="1:7" x14ac:dyDescent="0.2">
      <c r="A10" t="s">
        <v>5</v>
      </c>
      <c r="B10" s="4" t="s">
        <v>12</v>
      </c>
      <c r="C10" cm="1">
        <f t="array" ref="C10">((1-C5)*Table1[Capital]*EXP(-Table1[r]*Table1[t]))</f>
        <v>81.917688900168983</v>
      </c>
    </row>
    <row r="11" spans="1:7" ht="68" x14ac:dyDescent="0.2">
      <c r="A11" s="1" t="s">
        <v>15</v>
      </c>
      <c r="B11" s="4" t="s">
        <v>14</v>
      </c>
      <c r="C11" cm="1">
        <f t="array" ref="C11">(1-Table1[q = P(def)])*Table1[Capital]*EXP(-Table1[r]*Table1[t])</f>
        <v>94.205342235194351</v>
      </c>
    </row>
    <row r="13" spans="1:7" ht="68" x14ac:dyDescent="0.2">
      <c r="A13" s="1" t="s">
        <v>16</v>
      </c>
    </row>
    <row r="14" spans="1:7" x14ac:dyDescent="0.2">
      <c r="A14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Input+Terminal Bayes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MOUTON</dc:creator>
  <cp:lastModifiedBy>Yannis MOUTON</cp:lastModifiedBy>
  <dcterms:created xsi:type="dcterms:W3CDTF">2025-10-23T10:54:20Z</dcterms:created>
  <dcterms:modified xsi:type="dcterms:W3CDTF">2025-10-23T11:54:35Z</dcterms:modified>
</cp:coreProperties>
</file>