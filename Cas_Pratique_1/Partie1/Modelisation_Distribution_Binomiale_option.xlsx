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ismouton/Documents/Development/Portfolio_Project/Cas_Pratique_1/"/>
    </mc:Choice>
  </mc:AlternateContent>
  <xr:revisionPtr revIDLastSave="0" documentId="13_ncr:1_{C3E08E4F-3276-BD4F-86F0-9F454064DAD2}" xr6:coauthVersionLast="47" xr6:coauthVersionMax="47" xr10:uidLastSave="{00000000-0000-0000-0000-000000000000}"/>
  <bookViews>
    <workbookView xWindow="0" yWindow="660" windowWidth="34560" windowHeight="21680" activeTab="2" xr2:uid="{0F40D778-0163-9C4D-9BF4-EA4B458726D8}"/>
  </bookViews>
  <sheets>
    <sheet name="Inputs" sheetId="1" r:id="rId1"/>
    <sheet name="Terminal" sheetId="2" r:id="rId2"/>
    <sheet name="Graphique" sheetId="3" r:id="rId3"/>
  </sheets>
  <definedNames>
    <definedName name="_xlchart.v1.0" hidden="1">Graphique!$A$1</definedName>
    <definedName name="_xlchart.v1.1" hidden="1">Terminal!$C$3</definedName>
    <definedName name="_xlchart.v1.2" hidden="1">Terminal!$C$4:$C$8</definedName>
    <definedName name="_xlchart.v1.3" hidden="1">Terminal!$D$4:$D$8</definedName>
    <definedName name="_xlchart.v1.4" hidden="1">Graphique!$A$1</definedName>
    <definedName name="_xlchart.v1.5" hidden="1">Terminal!$C$3</definedName>
    <definedName name="_xlchart.v1.6" hidden="1">Terminal!$C$4:$C$8</definedName>
    <definedName name="_xlchart.v1.7" hidden="1">Terminal!$D$4:$D$8</definedName>
    <definedName name="C_">Inputs!$D$10</definedName>
    <definedName name="d">Inputs!$D$5</definedName>
    <definedName name="J">Inputs!$D$12</definedName>
    <definedName name="K">Inputs!$D$9</definedName>
    <definedName name="M">Inputs!$D$13</definedName>
    <definedName name="N">Inputs!$D$7</definedName>
    <definedName name="P_S_def">Inputs!$D$15</definedName>
    <definedName name="P_S_nodef">Inputs!$D$16</definedName>
    <definedName name="q">Inputs!$D$14</definedName>
    <definedName name="r_">Inputs!$D$6</definedName>
    <definedName name="S_0">Inputs!$D$3</definedName>
    <definedName name="T">Inputs!$D$8</definedName>
    <definedName name="u">Inputs!$D$4</definedName>
    <definedName name="λ">Inputs!$D$11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D8" i="2"/>
  <c r="D7" i="2"/>
  <c r="D6" i="2"/>
  <c r="D5" i="2"/>
  <c r="D4" i="2"/>
  <c r="B11" i="2"/>
  <c r="D8" i="1"/>
  <c r="C5" i="2"/>
  <c r="C4" i="2"/>
  <c r="C6" i="2"/>
  <c r="C7" i="2"/>
  <c r="C8" i="2"/>
</calcChain>
</file>

<file path=xl/sharedStrings.xml><?xml version="1.0" encoding="utf-8"?>
<sst xmlns="http://schemas.openxmlformats.org/spreadsheetml/2006/main" count="43" uniqueCount="43">
  <si>
    <t>Construire La Distribution binomiale du prix final ST d'une option européenne :</t>
  </si>
  <si>
    <t>Nom du paramètre</t>
  </si>
  <si>
    <t>Symbole</t>
  </si>
  <si>
    <t>Valeur</t>
  </si>
  <si>
    <t>Prix initial</t>
  </si>
  <si>
    <t>S_0</t>
  </si>
  <si>
    <t>Facteur de hausse</t>
  </si>
  <si>
    <t>u</t>
  </si>
  <si>
    <t>d</t>
  </si>
  <si>
    <t>r</t>
  </si>
  <si>
    <t>Facteur de baisse</t>
  </si>
  <si>
    <t>Taux sans risque</t>
  </si>
  <si>
    <t>Nombre de périodes</t>
  </si>
  <si>
    <t>Strike du call</t>
  </si>
  <si>
    <t>Montant investi</t>
  </si>
  <si>
    <t>Facteur de chute par saut</t>
  </si>
  <si>
    <t>Nombre de Simulations Monte Carlo</t>
  </si>
  <si>
    <t>Probabilité a priori de défaut (Bayes)</t>
  </si>
  <si>
    <t>P(S_def)</t>
  </si>
  <si>
    <t>P(S_nodef)</t>
  </si>
  <si>
    <t>Probabilité du signal en cas de défaut</t>
  </si>
  <si>
    <t>Probailité du signal sans défaut</t>
  </si>
  <si>
    <t>N</t>
  </si>
  <si>
    <t>K</t>
  </si>
  <si>
    <t>T</t>
  </si>
  <si>
    <t>Durée totale(années)</t>
  </si>
  <si>
    <t>C</t>
  </si>
  <si>
    <t>λ</t>
  </si>
  <si>
    <t>J</t>
  </si>
  <si>
    <t>M</t>
  </si>
  <si>
    <t>q</t>
  </si>
  <si>
    <t>Lambda (saut de poisson)</t>
  </si>
  <si>
    <t>Feuille Input</t>
  </si>
  <si>
    <t>Feuille Terminal :</t>
  </si>
  <si>
    <t>Cette feuille représente tous les résultats à l'échéance T pour chaque valeur possible du nombre de hausses k allant de 0 à N.</t>
  </si>
  <si>
    <t>PMF(k)</t>
  </si>
  <si>
    <t>ST(k)</t>
  </si>
  <si>
    <t>k</t>
  </si>
  <si>
    <t>Pour évaluer le prix ST(k), j'utilise la formule selon le 
modèle binomial discret : S_0*u^k*d^(N-k), pour 
k= 0,1,…,N</t>
  </si>
  <si>
    <t xml:space="preserve">Somme PMF : </t>
  </si>
  <si>
    <t>Comme la somme = 1 &amp; P(x) &gt;= 0 donc PMF valable</t>
  </si>
  <si>
    <t xml:space="preserve">Histogramme des ST avec PMF(k) : </t>
  </si>
  <si>
    <t>Je dois calculer p pour faire mon pmf, j'utilise la loi binomiale pour trouver p : 
p=(e^{r∆t}-d)/u-d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</si>
</sst>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du prix final ST d'une option européenne</a:t>
            </a:r>
          </a:p>
        </c:rich>
      </c:tx>
      <c:layout>
        <c:manualLayout>
          <c:xMode val="edge"/>
          <c:yMode val="edge"/>
          <c:x val="0.20651804749999447"/>
          <c:y val="4.1502094205788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12700">
              <a:solidFill>
                <a:schemeClr val="tx1"/>
              </a:solidFill>
            </a:ln>
            <a:effectLst>
              <a:outerShdw blurRad="50800" dist="50800" dir="5400000" algn="ctr" rotWithShape="0">
                <a:schemeClr val="tx1">
                  <a:alpha val="83000"/>
                </a:schemeClr>
              </a:outerShdw>
              <a:softEdge rad="0"/>
            </a:effectLst>
          </c:spPr>
          <c:invertIfNegative val="0"/>
          <c:cat>
            <c:numRef>
              <c:f>Terminal!$C$4:$C$8</c:f>
              <c:numCache>
                <c:formatCode>General</c:formatCode>
                <c:ptCount val="5"/>
                <c:pt idx="0">
                  <c:v>65.610000000000014</c:v>
                </c:pt>
                <c:pt idx="1">
                  <c:v>81.648000000000025</c:v>
                </c:pt>
                <c:pt idx="2">
                  <c:v>101.60640000000002</c:v>
                </c:pt>
                <c:pt idx="3">
                  <c:v>126.44352000000005</c:v>
                </c:pt>
                <c:pt idx="4">
                  <c:v>157.35193600000002</c:v>
                </c:pt>
              </c:numCache>
            </c:numRef>
          </c:cat>
          <c:val>
            <c:numRef>
              <c:f>Terminal!$D$4:$D$8</c:f>
              <c:numCache>
                <c:formatCode>General</c:formatCode>
                <c:ptCount val="5"/>
                <c:pt idx="0">
                  <c:v>8.3745664669799949E-2</c:v>
                </c:pt>
                <c:pt idx="1">
                  <c:v>0.2877214649525312</c:v>
                </c:pt>
                <c:pt idx="2">
                  <c:v>0.37069221010202835</c:v>
                </c:pt>
                <c:pt idx="3">
                  <c:v>0.2122619444592157</c:v>
                </c:pt>
                <c:pt idx="4">
                  <c:v>4.5578715816424552E-2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3-9E4A-8479-A8F307038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93966144"/>
        <c:axId val="483237760"/>
      </c:barChart>
      <c:catAx>
        <c:axId val="4939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37760"/>
        <c:crosses val="autoZero"/>
        <c:auto val="1"/>
        <c:lblAlgn val="ctr"/>
        <c:lblOffset val="100"/>
        <c:noMultiLvlLbl val="0"/>
      </c:catAx>
      <c:valAx>
        <c:axId val="4832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132815</xdr:colOff>
      <xdr:row>1</xdr:row>
      <xdr:rowOff>77828</xdr:rowOff>
    </xdr:from>
    <xdr:to>
      <xdr:col>6</xdr:col>
      <xdr:colOff>587781</xdr:colOff>
      <xdr:row>14</xdr:row>
      <xdr:rowOff>190313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3A306-10AE-2585-800B-A01D26F1F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3BE6D-19C1-F04D-AD16-EC192E4F747E}" name="Table1" displayName="Table1" ref="B2:D16" totalsRowShown="0">
  <autoFilter ref="B2:D16" xr:uid="{3353BE6D-19C1-F04D-AD16-EC192E4F747E}">
    <filterColumn colId="0" hiddenButton="1"/>
    <filterColumn colId="1" hiddenButton="1"/>
    <filterColumn colId="2" hiddenButton="1"/>
  </autoFilter>
  <tableColumns count="3">
    <tableColumn id="1" xr3:uid="{66A19D14-FCB5-B147-AF23-8329904E9F0D}" name="Nom du paramètre"/>
    <tableColumn id="2" xr3:uid="{04867F1B-A5F5-494B-A18A-70F5836D9E0D}" name="Symbole"/>
    <tableColumn id="3" xr3:uid="{0A4CA48A-7AAB-6E43-9815-851A83B32371}" name="Valeur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07972-444A-7140-A14A-E1A3BFB6F035}" name="Table2" displayName="Table2" ref="B3:D8" totalsRowShown="0">
  <autoFilter ref="B3:D8" xr:uid="{6DA07972-444A-7140-A14A-E1A3BFB6F035}">
    <filterColumn colId="0" hiddenButton="1"/>
    <filterColumn colId="1" hiddenButton="1"/>
    <filterColumn colId="2" hiddenButton="1"/>
  </autoFilter>
  <tableColumns count="3">
    <tableColumn id="1" xr3:uid="{D0D5BEB6-3E20-2745-ACCB-878E59A5F969}" name="k"/>
    <tableColumn id="2" xr3:uid="{4229E967-91D8-0845-BA15-27AC16508352}" name="ST(k)" dataDxfId="1">
      <calculatedColumnFormula>S_0*u^Table2[[#This Row],[k]]*d^(N-Table2[[#This Row],[k]])</calculatedColumnFormula>
    </tableColumn>
    <tableColumn id="3" xr3:uid="{40212D0E-9712-9443-915B-497AEC5BBE0A}" name="PMF(k)" dataDxfId="0">
      <calculatedColumnFormula>COMBIN(N,Table2[[#This Row],[k]])*B11^Table2[[#This Row],[k]]*(1-B11)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2CB1CE-EA9C-0945-A7A1-F0EB4C2DA33F}">
  <we:reference id="wa104381695" version="1.0.10.0" store="en-US" storeType="OMEX"/>
  <we:alternateReferences>
    <we:reference id="WA104381695" version="1.0.1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1CDB-18D9-0846-8571-816DAB15A015}">
  <dimension ref="A1:D16"/>
  <sheetViews>
    <sheetView zoomScale="125" workbookViewId="0">
      <selection activeCell="D8" sqref="D8"/>
    </sheetView>
  </sheetViews>
  <sheetFormatPr baseColWidth="10" defaultRowHeight="16" x14ac:dyDescent="0.2"/>
  <cols>
    <col min="1" max="1" width="63" customWidth="1"/>
    <col min="2" max="2" width="30.83203125" customWidth="1"/>
    <col min="3" max="4" width="11" customWidth="1"/>
    <col min="5" max="5" width="24.1640625" customWidth="1"/>
  </cols>
  <sheetData>
    <row r="1" spans="1:4" ht="40" customHeight="1" x14ac:dyDescent="0.2">
      <c r="A1" s="1" t="s">
        <v>0</v>
      </c>
    </row>
    <row r="2" spans="1:4" x14ac:dyDescent="0.2">
      <c r="A2" s="4" t="s">
        <v>32</v>
      </c>
      <c r="B2" t="s">
        <v>1</v>
      </c>
      <c r="C2" t="s">
        <v>2</v>
      </c>
      <c r="D2" t="s">
        <v>3</v>
      </c>
    </row>
    <row r="3" spans="1:4" x14ac:dyDescent="0.2">
      <c r="B3" t="s">
        <v>4</v>
      </c>
      <c r="C3" t="s">
        <v>5</v>
      </c>
      <c r="D3">
        <v>100</v>
      </c>
    </row>
    <row r="4" spans="1:4" x14ac:dyDescent="0.2">
      <c r="B4" t="s">
        <v>6</v>
      </c>
      <c r="C4" t="s">
        <v>7</v>
      </c>
      <c r="D4">
        <v>1.1200000000000001</v>
      </c>
    </row>
    <row r="5" spans="1:4" x14ac:dyDescent="0.2">
      <c r="B5" t="s">
        <v>10</v>
      </c>
      <c r="C5" t="s">
        <v>8</v>
      </c>
      <c r="D5">
        <v>0.9</v>
      </c>
    </row>
    <row r="6" spans="1:4" x14ac:dyDescent="0.2">
      <c r="B6" t="s">
        <v>11</v>
      </c>
      <c r="C6" t="s">
        <v>9</v>
      </c>
      <c r="D6">
        <v>0.02</v>
      </c>
    </row>
    <row r="7" spans="1:4" x14ac:dyDescent="0.2">
      <c r="B7" t="s">
        <v>12</v>
      </c>
      <c r="C7" t="s">
        <v>22</v>
      </c>
      <c r="D7">
        <v>4</v>
      </c>
    </row>
    <row r="8" spans="1:4" x14ac:dyDescent="0.2">
      <c r="B8" t="s">
        <v>25</v>
      </c>
      <c r="C8" t="s">
        <v>24</v>
      </c>
      <c r="D8" s="3">
        <f>5/12</f>
        <v>0.41666666666666669</v>
      </c>
    </row>
    <row r="9" spans="1:4" x14ac:dyDescent="0.2">
      <c r="B9" t="s">
        <v>13</v>
      </c>
      <c r="C9" t="s">
        <v>23</v>
      </c>
      <c r="D9">
        <v>105</v>
      </c>
    </row>
    <row r="10" spans="1:4" x14ac:dyDescent="0.2">
      <c r="B10" t="s">
        <v>14</v>
      </c>
      <c r="C10" t="s">
        <v>26</v>
      </c>
      <c r="D10">
        <v>100</v>
      </c>
    </row>
    <row r="11" spans="1:4" x14ac:dyDescent="0.2">
      <c r="B11" t="s">
        <v>31</v>
      </c>
      <c r="C11" s="2" t="s">
        <v>27</v>
      </c>
      <c r="D11">
        <v>0.3</v>
      </c>
    </row>
    <row r="12" spans="1:4" x14ac:dyDescent="0.2">
      <c r="B12" t="s">
        <v>15</v>
      </c>
      <c r="C12" t="s">
        <v>28</v>
      </c>
      <c r="D12">
        <v>0.8</v>
      </c>
    </row>
    <row r="13" spans="1:4" x14ac:dyDescent="0.2">
      <c r="B13" t="s">
        <v>16</v>
      </c>
      <c r="C13" t="s">
        <v>29</v>
      </c>
      <c r="D13">
        <v>100000</v>
      </c>
    </row>
    <row r="14" spans="1:4" x14ac:dyDescent="0.2">
      <c r="B14" t="s">
        <v>17</v>
      </c>
      <c r="C14" t="s">
        <v>30</v>
      </c>
      <c r="D14">
        <v>0.05</v>
      </c>
    </row>
    <row r="15" spans="1:4" x14ac:dyDescent="0.2">
      <c r="B15" t="s">
        <v>20</v>
      </c>
      <c r="C15" t="s">
        <v>18</v>
      </c>
    </row>
    <row r="16" spans="1:4" x14ac:dyDescent="0.2">
      <c r="B16" t="s">
        <v>21</v>
      </c>
      <c r="C1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3DEF-A249-8449-9F03-39A54DCC86CF}">
  <dimension ref="A1:D13"/>
  <sheetViews>
    <sheetView zoomScale="125" workbookViewId="0">
      <selection activeCell="A11" sqref="A11"/>
    </sheetView>
  </sheetViews>
  <sheetFormatPr baseColWidth="10" defaultRowHeight="16" x14ac:dyDescent="0.2"/>
  <cols>
    <col min="1" max="1" width="43.83203125" customWidth="1"/>
    <col min="2" max="3" width="11" customWidth="1"/>
  </cols>
  <sheetData>
    <row r="1" spans="1:4" x14ac:dyDescent="0.2">
      <c r="A1" s="4" t="s">
        <v>33</v>
      </c>
    </row>
    <row r="2" spans="1:4" ht="51" customHeight="1" x14ac:dyDescent="0.2">
      <c r="A2" s="5" t="s">
        <v>34</v>
      </c>
    </row>
    <row r="3" spans="1:4" x14ac:dyDescent="0.2">
      <c r="B3" t="s">
        <v>37</v>
      </c>
      <c r="C3" t="s">
        <v>36</v>
      </c>
      <c r="D3" t="s">
        <v>35</v>
      </c>
    </row>
    <row r="4" spans="1:4" x14ac:dyDescent="0.2">
      <c r="B4">
        <v>0</v>
      </c>
      <c r="C4">
        <f>S_0*u^Table2[[#This Row],[k]]*d^(N-Table2[[#This Row],[k]])</f>
        <v>65.610000000000014</v>
      </c>
      <c r="D4">
        <f>COMBIN(N,Table2[[#This Row],[k]])*B11^Table2[[#This Row],[k]]*(1-B11)^4</f>
        <v>8.3745664669799949E-2</v>
      </c>
    </row>
    <row r="5" spans="1:4" x14ac:dyDescent="0.2">
      <c r="B5">
        <v>1</v>
      </c>
      <c r="C5">
        <f>S_0*u^Table2[[#This Row],[k]]*d^(N-Table2[[#This Row],[k]])</f>
        <v>81.648000000000025</v>
      </c>
      <c r="D5">
        <f>COMBIN(N,Table2[[#This Row],[k]])*B11^Table2[[#This Row],[k]]*(1-B11)^3</f>
        <v>0.2877214649525312</v>
      </c>
    </row>
    <row r="6" spans="1:4" x14ac:dyDescent="0.2">
      <c r="B6">
        <v>2</v>
      </c>
      <c r="C6">
        <f>S_0*u^Table2[[#This Row],[k]]*d^(N-Table2[[#This Row],[k]])</f>
        <v>101.60640000000002</v>
      </c>
      <c r="D6">
        <f>COMBIN(N,Table2[[#This Row],[k]])*B11^Table2[[#This Row],[k]]*(1-B11)^2</f>
        <v>0.37069221010202835</v>
      </c>
    </row>
    <row r="7" spans="1:4" x14ac:dyDescent="0.2">
      <c r="B7">
        <v>3</v>
      </c>
      <c r="C7">
        <f>S_0*u^Table2[[#This Row],[k]]*d^(N-Table2[[#This Row],[k]])</f>
        <v>126.44352000000005</v>
      </c>
      <c r="D7">
        <f>COMBIN(N,Table2[[#This Row],[k]])*B11^Table2[[#This Row],[k]]*(1-B11)^1</f>
        <v>0.2122619444592157</v>
      </c>
    </row>
    <row r="8" spans="1:4" x14ac:dyDescent="0.2">
      <c r="B8">
        <v>4</v>
      </c>
      <c r="C8">
        <f>S_0*u^Table2[[#This Row],[k]]*d^(N-Table2[[#This Row],[k]])</f>
        <v>157.35193600000002</v>
      </c>
      <c r="D8">
        <f>COMBIN(N,Table2[[#This Row],[k]])*B11^Table2[[#This Row],[k]]*(1-B11)^0</f>
        <v>4.5578715816424552E-2</v>
      </c>
    </row>
    <row r="9" spans="1:4" ht="51" x14ac:dyDescent="0.2">
      <c r="A9" s="5" t="s">
        <v>38</v>
      </c>
    </row>
    <row r="11" spans="1:4" ht="46" customHeight="1" x14ac:dyDescent="0.2">
      <c r="A11" s="5" t="s">
        <v>42</v>
      </c>
      <c r="B11">
        <f>(EXP(0.02*0.33/4)-d)/(u-d)</f>
        <v>0.46205164544998339</v>
      </c>
    </row>
    <row r="12" spans="1:4" x14ac:dyDescent="0.2">
      <c r="A12" s="4" t="s">
        <v>39</v>
      </c>
      <c r="B12">
        <f>SUM(Table2[PMF(k)])</f>
        <v>0.99999999999999989</v>
      </c>
    </row>
    <row r="13" spans="1:4" x14ac:dyDescent="0.2">
      <c r="A13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33A5-E1BF-8E46-9588-EC194010A48F}">
  <dimension ref="A1"/>
  <sheetViews>
    <sheetView tabSelected="1" zoomScale="119" workbookViewId="0">
      <selection activeCell="D21" sqref="D21"/>
    </sheetView>
  </sheetViews>
  <sheetFormatPr baseColWidth="10" defaultRowHeight="16" x14ac:dyDescent="0.2"/>
  <cols>
    <col min="1" max="1" width="30.83203125" customWidth="1"/>
  </cols>
  <sheetData>
    <row r="1" spans="1:1" x14ac:dyDescent="0.2">
      <c r="A1" s="4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Inputs</vt:lpstr>
      <vt:lpstr>Terminal</vt:lpstr>
      <vt:lpstr>Graphique</vt:lpstr>
      <vt:lpstr>C_</vt:lpstr>
      <vt:lpstr>d</vt:lpstr>
      <vt:lpstr>J</vt:lpstr>
      <vt:lpstr>K</vt:lpstr>
      <vt:lpstr>M</vt:lpstr>
      <vt:lpstr>N</vt:lpstr>
      <vt:lpstr>P_S_def</vt:lpstr>
      <vt:lpstr>P_S_nodef</vt:lpstr>
      <vt:lpstr>q</vt:lpstr>
      <vt:lpstr>r_</vt:lpstr>
      <vt:lpstr>S_0</vt:lpstr>
      <vt:lpstr>T</vt:lpstr>
      <vt:lpstr>u</vt:lpstr>
      <vt:lpstr>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MOUTON</dc:creator>
  <cp:lastModifiedBy>Yannis MOUTON</cp:lastModifiedBy>
  <dcterms:created xsi:type="dcterms:W3CDTF">2025-10-21T14:41:10Z</dcterms:created>
  <dcterms:modified xsi:type="dcterms:W3CDTF">2025-10-21T17:14:58Z</dcterms:modified>
</cp:coreProperties>
</file>